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月度趋势" sheetId="2" state="visible" r:id="rId2"/>
    <sheet name="品类分析" sheetId="3" state="visible" r:id="rId3"/>
    <sheet name="地域分析" sheetId="4" state="visible" r:id="rId4"/>
    <sheet name="RFM分层" sheetId="5" state="visible" r:id="rId5"/>
    <sheet name="渠道分析" sheetId="6" state="visible" r:id="rId6"/>
    <sheet name="产品TOP1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2F5597"/>
      <sz val="16"/>
    </font>
    <font>
      <name val="微软雅黑"/>
      <color rgb="00808080"/>
      <sz val="10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bottom style="thin">
        <color rgb="002F559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3" fontId="5" fillId="0" borderId="2" applyAlignment="1" pivotButton="0" quotePrefix="0" xfId="0">
      <alignment horizontal="right"/>
    </xf>
    <xf numFmtId="4" fontId="5" fillId="0" borderId="2" applyAlignment="1" pivotButton="0" quotePrefix="0" xfId="0">
      <alignment horizontal="right"/>
    </xf>
    <xf numFmtId="2" fontId="5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 GMV 趋势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'月度趋势'!$A$2:$A$26</f>
            </numRef>
          </cat>
          <val>
            <numRef>
              <f>'月度趋势'!$B$2:$B$26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各品类销售额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'品类分析'!H1</f>
            </strRef>
          </tx>
          <spPr>
            <a:ln>
              <a:prstDash val="solid"/>
            </a:ln>
          </spPr>
          <cat>
            <numRef>
              <f>'品类分析'!$A$2:$A$8</f>
            </numRef>
          </cat>
          <val>
            <numRef>
              <f>'品类分析'!$H$2:$H$8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各省份销售额 TOP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'地域分析'!D1</f>
            </strRef>
          </tx>
          <spPr>
            <a:ln>
              <a:prstDash val="solid"/>
            </a:ln>
          </spPr>
          <cat>
            <numRef>
              <f>'地域分析'!$A$2:$A$18</f>
            </numRef>
          </cat>
          <val>
            <numRef>
              <f>'地域分析'!$D$2:$D$18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客户分层人数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'RFM分层'!D1</f>
            </strRef>
          </tx>
          <spPr>
            <a:ln>
              <a:prstDash val="solid"/>
            </a:ln>
          </spPr>
          <cat>
            <numRef>
              <f>'RFM分层'!$A$2:$A$7</f>
            </numRef>
          </cat>
          <val>
            <numRef>
              <f>'RFM分层'!$D$2:$D$7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各渠道销售额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'渠道分析'!D1</f>
            </strRef>
          </tx>
          <spPr>
            <a:ln>
              <a:prstDash val="solid"/>
            </a:ln>
          </spPr>
          <cat>
            <numRef>
              <f>'渠道分析'!$A$2:$A$7</f>
            </numRef>
          </cat>
          <val>
            <numRef>
              <f>'渠道分析'!$D$2:$D$7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畅销产品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'产品TOP10'!G1</f>
            </strRef>
          </tx>
          <spPr>
            <a:ln>
              <a:prstDash val="solid"/>
            </a:ln>
          </spPr>
          <cat>
            <numRef>
              <f>'产品TOP10'!$A$2:$A$12</f>
            </numRef>
          </cat>
          <val>
            <numRef>
              <f>'产品TOP10'!$G$2:$G$12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7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2">
      <c r="B2" s="1" t="inlineStr">
        <is>
          <t>电商销售数据分析报告</t>
        </is>
      </c>
    </row>
    <row r="3">
      <c r="B3" s="2" t="inlineStr">
        <is>
          <t>数据周期：2024-01-01 ~ 2025-12-31  ·  数据来源：模拟订单数据</t>
        </is>
      </c>
    </row>
    <row r="6">
      <c r="B6" s="3" t="inlineStr">
        <is>
          <t>总GMV</t>
        </is>
      </c>
      <c r="E6" s="3" t="inlineStr">
        <is>
          <t>已完成订单数</t>
        </is>
      </c>
      <c r="H6" s="3" t="inlineStr">
        <is>
          <t>购买客户数</t>
        </is>
      </c>
      <c r="K6" s="3" t="inlineStr">
        <is>
          <t>客单价</t>
        </is>
      </c>
      <c r="N6" s="3" t="inlineStr">
        <is>
          <t>复购率(%)</t>
        </is>
      </c>
    </row>
    <row r="7">
      <c r="B7" s="4" t="n">
        <v>13576665.27</v>
      </c>
      <c r="E7" s="4" t="n">
        <v>3839</v>
      </c>
      <c r="H7" s="4" t="n">
        <v>1110</v>
      </c>
      <c r="K7" s="4" t="n">
        <v>3536.51</v>
      </c>
      <c r="N7" s="4" t="n">
        <v>38.22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6"/>
  <sheetViews>
    <sheetView workbookViewId="0">
      <selection activeCell="A1" sqref="A1"/>
    </sheetView>
  </sheetViews>
  <sheetFormatPr baseColWidth="8" defaultRowHeight="15"/>
  <cols>
    <col width="14.4" customWidth="1" min="1" max="1"/>
    <col width="17.6" customWidth="1" min="2" max="2"/>
    <col width="19.2" customWidth="1" min="3" max="3"/>
    <col width="27.2" customWidth="1" min="4" max="4"/>
    <col width="28" customWidth="1" min="5" max="5"/>
    <col width="28" customWidth="1" min="6" max="6"/>
  </cols>
  <sheetData>
    <row r="2">
      <c r="A2" s="5" t="inlineStr">
        <is>
          <t>ym</t>
        </is>
      </c>
      <c r="B2" s="5" t="inlineStr">
        <is>
          <t>order_cnt</t>
        </is>
      </c>
      <c r="C2" s="5" t="inlineStr">
        <is>
          <t>gmv</t>
        </is>
      </c>
      <c r="D2" s="5" t="inlineStr">
        <is>
          <t>avg_order_value</t>
        </is>
      </c>
      <c r="E2" s="5" t="inlineStr">
        <is>
          <t>mom_pct</t>
        </is>
      </c>
      <c r="F2" s="5" t="inlineStr">
        <is>
          <t>yoy_pct</t>
        </is>
      </c>
    </row>
    <row r="3">
      <c r="A3" s="6" t="inlineStr">
        <is>
          <t>2024-01</t>
        </is>
      </c>
      <c r="B3" s="7" t="n">
        <v>92</v>
      </c>
      <c r="C3" s="8" t="n">
        <v>353977.43</v>
      </c>
      <c r="D3" s="8" t="n">
        <v>3847.58</v>
      </c>
      <c r="E3" s="9" t="n">
        <v/>
      </c>
      <c r="F3" s="9" t="n">
        <v/>
      </c>
    </row>
    <row r="4">
      <c r="A4" s="6" t="inlineStr">
        <is>
          <t>2024-02</t>
        </is>
      </c>
      <c r="B4" s="7" t="n">
        <v>113</v>
      </c>
      <c r="C4" s="8" t="n">
        <v>427498.72</v>
      </c>
      <c r="D4" s="8" t="n">
        <v>3783.17</v>
      </c>
      <c r="E4" s="9" t="n">
        <v>20.77</v>
      </c>
      <c r="F4" s="9" t="n">
        <v/>
      </c>
    </row>
    <row r="5">
      <c r="A5" s="6" t="inlineStr">
        <is>
          <t>2024-03</t>
        </is>
      </c>
      <c r="B5" s="7" t="n">
        <v>131</v>
      </c>
      <c r="C5" s="8" t="n">
        <v>501748.71</v>
      </c>
      <c r="D5" s="8" t="n">
        <v>3830.14</v>
      </c>
      <c r="E5" s="9" t="n">
        <v>17.37</v>
      </c>
      <c r="F5" s="9" t="n">
        <v/>
      </c>
    </row>
    <row r="6">
      <c r="A6" s="6" t="inlineStr">
        <is>
          <t>2024-04</t>
        </is>
      </c>
      <c r="B6" s="7" t="n">
        <v>150</v>
      </c>
      <c r="C6" s="8" t="n">
        <v>516115.61</v>
      </c>
      <c r="D6" s="8" t="n">
        <v>3440.77</v>
      </c>
      <c r="E6" s="9" t="n">
        <v>2.86</v>
      </c>
      <c r="F6" s="9" t="n">
        <v/>
      </c>
    </row>
    <row r="7">
      <c r="A7" s="6" t="inlineStr">
        <is>
          <t>2024-05</t>
        </is>
      </c>
      <c r="B7" s="7" t="n">
        <v>174</v>
      </c>
      <c r="C7" s="8" t="n">
        <v>615144.48</v>
      </c>
      <c r="D7" s="8" t="n">
        <v>3535.31</v>
      </c>
      <c r="E7" s="9" t="n">
        <v>19.19</v>
      </c>
      <c r="F7" s="9" t="n">
        <v/>
      </c>
    </row>
    <row r="8">
      <c r="A8" s="6" t="inlineStr">
        <is>
          <t>2024-06</t>
        </is>
      </c>
      <c r="B8" s="7" t="n">
        <v>252</v>
      </c>
      <c r="C8" s="8" t="n">
        <v>829746.4399999999</v>
      </c>
      <c r="D8" s="8" t="n">
        <v>3292.64</v>
      </c>
      <c r="E8" s="9" t="n">
        <v>34.89</v>
      </c>
      <c r="F8" s="9" t="n">
        <v/>
      </c>
    </row>
    <row r="9">
      <c r="A9" s="6" t="inlineStr">
        <is>
          <t>2024-07</t>
        </is>
      </c>
      <c r="B9" s="7" t="n">
        <v>158</v>
      </c>
      <c r="C9" s="8" t="n">
        <v>520213.42</v>
      </c>
      <c r="D9" s="8" t="n">
        <v>3292.49</v>
      </c>
      <c r="E9" s="9" t="n">
        <v>-37.3</v>
      </c>
      <c r="F9" s="9" t="n">
        <v/>
      </c>
    </row>
    <row r="10">
      <c r="A10" s="6" t="inlineStr">
        <is>
          <t>2024-08</t>
        </is>
      </c>
      <c r="B10" s="7" t="n">
        <v>158</v>
      </c>
      <c r="C10" s="8" t="n">
        <v>588068.6800000001</v>
      </c>
      <c r="D10" s="8" t="n">
        <v>3721.95</v>
      </c>
      <c r="E10" s="9" t="n">
        <v>13.04</v>
      </c>
      <c r="F10" s="9" t="n">
        <v/>
      </c>
    </row>
    <row r="11">
      <c r="A11" s="6" t="inlineStr">
        <is>
          <t>2024-09</t>
        </is>
      </c>
      <c r="B11" s="7" t="n">
        <v>138</v>
      </c>
      <c r="C11" s="8" t="n">
        <v>492483.44</v>
      </c>
      <c r="D11" s="8" t="n">
        <v>3568.72</v>
      </c>
      <c r="E11" s="9" t="n">
        <v>-16.25</v>
      </c>
      <c r="F11" s="9" t="n">
        <v/>
      </c>
    </row>
    <row r="12">
      <c r="A12" s="6" t="inlineStr">
        <is>
          <t>2024-10</t>
        </is>
      </c>
      <c r="B12" s="7" t="n">
        <v>108</v>
      </c>
      <c r="C12" s="8" t="n">
        <v>405996.52</v>
      </c>
      <c r="D12" s="8" t="n">
        <v>3759.23</v>
      </c>
      <c r="E12" s="9" t="n">
        <v>-17.56</v>
      </c>
      <c r="F12" s="9" t="n">
        <v/>
      </c>
    </row>
    <row r="13">
      <c r="A13" s="6" t="inlineStr">
        <is>
          <t>2024-11</t>
        </is>
      </c>
      <c r="B13" s="7" t="n">
        <v>168</v>
      </c>
      <c r="C13" s="8" t="n">
        <v>561520.62</v>
      </c>
      <c r="D13" s="8" t="n">
        <v>3342.38</v>
      </c>
      <c r="E13" s="9" t="n">
        <v>38.31</v>
      </c>
      <c r="F13" s="9" t="n">
        <v/>
      </c>
    </row>
    <row r="14">
      <c r="A14" s="6" t="inlineStr">
        <is>
          <t>2024-12</t>
        </is>
      </c>
      <c r="B14" s="7" t="n">
        <v>141</v>
      </c>
      <c r="C14" s="8" t="n">
        <v>466802.3</v>
      </c>
      <c r="D14" s="8" t="n">
        <v>3310.65</v>
      </c>
      <c r="E14" s="9" t="n">
        <v>-16.87</v>
      </c>
      <c r="F14" s="9" t="n">
        <v/>
      </c>
    </row>
    <row r="15">
      <c r="A15" s="6" t="inlineStr">
        <is>
          <t>2025-01</t>
        </is>
      </c>
      <c r="B15" s="7" t="n">
        <v>138</v>
      </c>
      <c r="C15" s="8" t="n">
        <v>508804.3</v>
      </c>
      <c r="D15" s="8" t="n">
        <v>3686.99</v>
      </c>
      <c r="E15" s="9" t="n">
        <v>9</v>
      </c>
      <c r="F15" s="9" t="n">
        <v>43.74</v>
      </c>
    </row>
    <row r="16">
      <c r="A16" s="6" t="inlineStr">
        <is>
          <t>2025-02</t>
        </is>
      </c>
      <c r="B16" s="7" t="n">
        <v>126</v>
      </c>
      <c r="C16" s="8" t="n">
        <v>386190.02</v>
      </c>
      <c r="D16" s="8" t="n">
        <v>3065</v>
      </c>
      <c r="E16" s="9" t="n">
        <v>-24.1</v>
      </c>
      <c r="F16" s="9" t="n">
        <v>-9.66</v>
      </c>
    </row>
    <row r="17">
      <c r="A17" s="6" t="inlineStr">
        <is>
          <t>2025-03</t>
        </is>
      </c>
      <c r="B17" s="7" t="n">
        <v>143</v>
      </c>
      <c r="C17" s="8" t="n">
        <v>452951.18</v>
      </c>
      <c r="D17" s="8" t="n">
        <v>3167.49</v>
      </c>
      <c r="E17" s="9" t="n">
        <v>17.29</v>
      </c>
      <c r="F17" s="9" t="n">
        <v>-9.73</v>
      </c>
    </row>
    <row r="18">
      <c r="A18" s="6" t="inlineStr">
        <is>
          <t>2025-04</t>
        </is>
      </c>
      <c r="B18" s="7" t="n">
        <v>153</v>
      </c>
      <c r="C18" s="8" t="n">
        <v>573423.29</v>
      </c>
      <c r="D18" s="8" t="n">
        <v>3747.86</v>
      </c>
      <c r="E18" s="9" t="n">
        <v>26.6</v>
      </c>
      <c r="F18" s="9" t="n">
        <v>11.1</v>
      </c>
    </row>
    <row r="19">
      <c r="A19" s="6" t="inlineStr">
        <is>
          <t>2025-05</t>
        </is>
      </c>
      <c r="B19" s="7" t="n">
        <v>176</v>
      </c>
      <c r="C19" s="8" t="n">
        <v>630724</v>
      </c>
      <c r="D19" s="8" t="n">
        <v>3583.66</v>
      </c>
      <c r="E19" s="9" t="n">
        <v>9.99</v>
      </c>
      <c r="F19" s="9" t="n">
        <v>2.53</v>
      </c>
    </row>
    <row r="20">
      <c r="A20" s="6" t="inlineStr">
        <is>
          <t>2025-06</t>
        </is>
      </c>
      <c r="B20" s="7" t="n">
        <v>294</v>
      </c>
      <c r="C20" s="8" t="n">
        <v>1046308.78</v>
      </c>
      <c r="D20" s="8" t="n">
        <v>3558.87</v>
      </c>
      <c r="E20" s="9" t="n">
        <v>65.89</v>
      </c>
      <c r="F20" s="9" t="n">
        <v>26.1</v>
      </c>
    </row>
    <row r="21">
      <c r="A21" s="6" t="inlineStr">
        <is>
          <t>2025-07</t>
        </is>
      </c>
      <c r="B21" s="7" t="n">
        <v>208</v>
      </c>
      <c r="C21" s="8" t="n">
        <v>767927.3</v>
      </c>
      <c r="D21" s="8" t="n">
        <v>3691.96</v>
      </c>
      <c r="E21" s="9" t="n">
        <v>-26.61</v>
      </c>
      <c r="F21" s="9" t="n">
        <v>47.62</v>
      </c>
    </row>
    <row r="22">
      <c r="A22" s="6" t="inlineStr">
        <is>
          <t>2025-08</t>
        </is>
      </c>
      <c r="B22" s="7" t="n">
        <v>191</v>
      </c>
      <c r="C22" s="8" t="n">
        <v>690249.73</v>
      </c>
      <c r="D22" s="8" t="n">
        <v>3613.87</v>
      </c>
      <c r="E22" s="9" t="n">
        <v>-10.12</v>
      </c>
      <c r="F22" s="9" t="n">
        <v>17.38</v>
      </c>
    </row>
    <row r="23">
      <c r="A23" s="6" t="inlineStr">
        <is>
          <t>2025-09</t>
        </is>
      </c>
      <c r="B23" s="7" t="n">
        <v>161</v>
      </c>
      <c r="C23" s="8" t="n">
        <v>583234.5699999999</v>
      </c>
      <c r="D23" s="8" t="n">
        <v>3622.57</v>
      </c>
      <c r="E23" s="9" t="n">
        <v>-15.5</v>
      </c>
      <c r="F23" s="9" t="n">
        <v>18.43</v>
      </c>
    </row>
    <row r="24">
      <c r="A24" s="6" t="inlineStr">
        <is>
          <t>2025-10</t>
        </is>
      </c>
      <c r="B24" s="7" t="n">
        <v>118</v>
      </c>
      <c r="C24" s="8" t="n">
        <v>395284.01</v>
      </c>
      <c r="D24" s="8" t="n">
        <v>3349.86</v>
      </c>
      <c r="E24" s="9" t="n">
        <v>-32.23</v>
      </c>
      <c r="F24" s="9" t="n">
        <v>-2.64</v>
      </c>
    </row>
    <row r="25">
      <c r="A25" s="6" t="inlineStr">
        <is>
          <t>2025-11</t>
        </is>
      </c>
      <c r="B25" s="7" t="n">
        <v>201</v>
      </c>
      <c r="C25" s="8" t="n">
        <v>781093.52</v>
      </c>
      <c r="D25" s="8" t="n">
        <v>3886.04</v>
      </c>
      <c r="E25" s="9" t="n">
        <v>97.59999999999999</v>
      </c>
      <c r="F25" s="9" t="n">
        <v>39.1</v>
      </c>
    </row>
    <row r="26">
      <c r="A26" s="6" t="inlineStr">
        <is>
          <t>2025-12</t>
        </is>
      </c>
      <c r="B26" s="7" t="n">
        <v>143</v>
      </c>
      <c r="C26" s="8" t="n">
        <v>481158.2</v>
      </c>
      <c r="D26" s="8" t="n">
        <v>3364.74</v>
      </c>
      <c r="E26" s="9" t="n">
        <v>-38.4</v>
      </c>
      <c r="F26" s="9" t="n">
        <v>3.08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8"/>
  <sheetViews>
    <sheetView workbookViewId="0">
      <selection activeCell="A1" sqref="A1"/>
    </sheetView>
  </sheetViews>
  <sheetFormatPr baseColWidth="8" defaultRowHeight="15"/>
  <cols>
    <col width="16" customWidth="1" min="1" max="1"/>
    <col width="17.6" customWidth="1" min="2" max="2"/>
    <col width="16" customWidth="1" min="3" max="3"/>
    <col width="19.2" customWidth="1" min="4" max="4"/>
    <col width="19.2" customWidth="1" min="5" max="5"/>
    <col width="22.4" customWidth="1" min="6" max="6"/>
    <col width="19.2" customWidth="1" min="7" max="7"/>
    <col width="28" customWidth="1" min="8" max="8"/>
  </cols>
  <sheetData>
    <row r="2">
      <c r="A2" s="5" t="inlineStr">
        <is>
          <t>category</t>
        </is>
      </c>
      <c r="B2" s="5" t="inlineStr">
        <is>
          <t>order_cnt</t>
        </is>
      </c>
      <c r="C2" s="5" t="inlineStr">
        <is>
          <t>sold_qty</t>
        </is>
      </c>
      <c r="D2" s="5" t="inlineStr">
        <is>
          <t>revenue</t>
        </is>
      </c>
      <c r="E2" s="5" t="inlineStr">
        <is>
          <t>cost</t>
        </is>
      </c>
      <c r="F2" s="5" t="inlineStr">
        <is>
          <t>gross_profit</t>
        </is>
      </c>
      <c r="G2" s="5" t="inlineStr">
        <is>
          <t>margin_pct</t>
        </is>
      </c>
      <c r="H2" s="5" t="inlineStr">
        <is>
          <t>revenue_share_pct</t>
        </is>
      </c>
    </row>
    <row r="3">
      <c r="A3" s="6" t="inlineStr">
        <is>
          <t>家用电器</t>
        </is>
      </c>
      <c r="B3" s="7" t="n">
        <v>1387</v>
      </c>
      <c r="C3" s="7" t="n">
        <v>2431</v>
      </c>
      <c r="D3" s="8" t="n">
        <v>5536335.72</v>
      </c>
      <c r="E3" s="8" t="n">
        <v>3728120.6</v>
      </c>
      <c r="F3" s="8" t="n">
        <v>1808215.12</v>
      </c>
      <c r="G3" s="9" t="n">
        <v>32.66</v>
      </c>
      <c r="H3" s="9" t="n">
        <v>40.33</v>
      </c>
    </row>
    <row r="4">
      <c r="A4" s="6" t="inlineStr">
        <is>
          <t>手机数码</t>
        </is>
      </c>
      <c r="B4" s="7" t="n">
        <v>1434</v>
      </c>
      <c r="C4" s="7" t="n">
        <v>3437</v>
      </c>
      <c r="D4" s="8" t="n">
        <v>3679960.12</v>
      </c>
      <c r="E4" s="8" t="n">
        <v>2387543.51</v>
      </c>
      <c r="F4" s="8" t="n">
        <v>1292416.61</v>
      </c>
      <c r="G4" s="9" t="n">
        <v>35.12</v>
      </c>
      <c r="H4" s="9" t="n">
        <v>26.81</v>
      </c>
    </row>
    <row r="5">
      <c r="A5" s="6" t="inlineStr">
        <is>
          <t>服饰鞋包</t>
        </is>
      </c>
      <c r="B5" s="7" t="n">
        <v>1604</v>
      </c>
      <c r="C5" s="7" t="n">
        <v>4141</v>
      </c>
      <c r="D5" s="8" t="n">
        <v>2285240.64</v>
      </c>
      <c r="E5" s="8" t="n">
        <v>1088726.72</v>
      </c>
      <c r="F5" s="8" t="n">
        <v>1196513.92</v>
      </c>
      <c r="G5" s="9" t="n">
        <v>52.36</v>
      </c>
      <c r="H5" s="9" t="n">
        <v>16.65</v>
      </c>
    </row>
    <row r="6">
      <c r="A6" s="6" t="inlineStr">
        <is>
          <t>母婴玩具</t>
        </is>
      </c>
      <c r="B6" s="7" t="n">
        <v>1625</v>
      </c>
      <c r="C6" s="7" t="n">
        <v>4865</v>
      </c>
      <c r="D6" s="8" t="n">
        <v>1217536.78</v>
      </c>
      <c r="E6" s="8" t="n">
        <v>596454.87</v>
      </c>
      <c r="F6" s="8" t="n">
        <v>621081.91</v>
      </c>
      <c r="G6" s="9" t="n">
        <v>51.01</v>
      </c>
      <c r="H6" s="9" t="n">
        <v>8.869999999999999</v>
      </c>
    </row>
    <row r="7">
      <c r="A7" s="6" t="inlineStr">
        <is>
          <t>美妆个护</t>
        </is>
      </c>
      <c r="B7" s="7" t="n">
        <v>1512</v>
      </c>
      <c r="C7" s="7" t="n">
        <v>4753</v>
      </c>
      <c r="D7" s="8" t="n">
        <v>790025.41</v>
      </c>
      <c r="E7" s="8" t="n">
        <v>357400.73</v>
      </c>
      <c r="F7" s="8" t="n">
        <v>432624.68</v>
      </c>
      <c r="G7" s="9" t="n">
        <v>54.76</v>
      </c>
      <c r="H7" s="9" t="n">
        <v>5.75</v>
      </c>
    </row>
    <row r="8">
      <c r="A8" s="6" t="inlineStr">
        <is>
          <t>食品饮料</t>
        </is>
      </c>
      <c r="B8" s="7" t="n">
        <v>691</v>
      </c>
      <c r="C8" s="7" t="n">
        <v>2229</v>
      </c>
      <c r="D8" s="8" t="n">
        <v>219533.85</v>
      </c>
      <c r="E8" s="8" t="n">
        <v>103340.96</v>
      </c>
      <c r="F8" s="8" t="n">
        <v>116192.89</v>
      </c>
      <c r="G8" s="9" t="n">
        <v>52.93</v>
      </c>
      <c r="H8" s="9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cols>
    <col width="16" customWidth="1" min="1" max="1"/>
    <col width="17.6" customWidth="1" min="2" max="2"/>
    <col width="17.6" customWidth="1" min="3" max="3"/>
    <col width="19.2" customWidth="1" min="4" max="4"/>
  </cols>
  <sheetData>
    <row r="2">
      <c r="A2" s="5" t="inlineStr">
        <is>
          <t>province</t>
        </is>
      </c>
      <c r="B2" s="5" t="inlineStr">
        <is>
          <t>order_cnt</t>
        </is>
      </c>
      <c r="C2" s="5" t="inlineStr">
        <is>
          <t>buyer_cnt</t>
        </is>
      </c>
      <c r="D2" s="5" t="inlineStr">
        <is>
          <t>revenue</t>
        </is>
      </c>
    </row>
    <row r="3">
      <c r="A3" s="6" t="inlineStr">
        <is>
          <t>广东</t>
        </is>
      </c>
      <c r="B3" s="7" t="n">
        <v>427</v>
      </c>
      <c r="C3" s="7" t="n">
        <v>144</v>
      </c>
      <c r="D3" s="8" t="n">
        <v>1634308.43</v>
      </c>
    </row>
    <row r="4">
      <c r="A4" s="6" t="inlineStr">
        <is>
          <t>江苏</t>
        </is>
      </c>
      <c r="B4" s="7" t="n">
        <v>379</v>
      </c>
      <c r="C4" s="7" t="n">
        <v>114</v>
      </c>
      <c r="D4" s="8" t="n">
        <v>1441943.08</v>
      </c>
    </row>
    <row r="5">
      <c r="A5" s="6" t="inlineStr">
        <is>
          <t>北京</t>
        </is>
      </c>
      <c r="B5" s="7" t="n">
        <v>346</v>
      </c>
      <c r="C5" s="7" t="n">
        <v>85</v>
      </c>
      <c r="D5" s="8" t="n">
        <v>1296486.81</v>
      </c>
    </row>
    <row r="6">
      <c r="A6" s="6" t="inlineStr">
        <is>
          <t>上海</t>
        </is>
      </c>
      <c r="B6" s="7" t="n">
        <v>359</v>
      </c>
      <c r="C6" s="7" t="n">
        <v>87</v>
      </c>
      <c r="D6" s="8" t="n">
        <v>1165610.57</v>
      </c>
    </row>
    <row r="7">
      <c r="A7" s="6" t="inlineStr">
        <is>
          <t>浙江</t>
        </is>
      </c>
      <c r="B7" s="7" t="n">
        <v>322</v>
      </c>
      <c r="C7" s="7" t="n">
        <v>99</v>
      </c>
      <c r="D7" s="8" t="n">
        <v>1146671.63</v>
      </c>
    </row>
    <row r="8">
      <c r="A8" s="6" t="inlineStr">
        <is>
          <t>四川</t>
        </is>
      </c>
      <c r="B8" s="7" t="n">
        <v>312</v>
      </c>
      <c r="C8" s="7" t="n">
        <v>86</v>
      </c>
      <c r="D8" s="8" t="n">
        <v>1033131.16</v>
      </c>
    </row>
    <row r="9">
      <c r="A9" s="6" t="inlineStr">
        <is>
          <t>山东</t>
        </is>
      </c>
      <c r="B9" s="7" t="n">
        <v>256</v>
      </c>
      <c r="C9" s="7" t="n">
        <v>62</v>
      </c>
      <c r="D9" s="8" t="n">
        <v>848809.78</v>
      </c>
    </row>
    <row r="10">
      <c r="A10" s="6" t="inlineStr">
        <is>
          <t>湖北</t>
        </is>
      </c>
      <c r="B10" s="7" t="n">
        <v>213</v>
      </c>
      <c r="C10" s="7" t="n">
        <v>59</v>
      </c>
      <c r="D10" s="8" t="n">
        <v>790322.88</v>
      </c>
    </row>
    <row r="11">
      <c r="A11" s="6" t="inlineStr">
        <is>
          <t>陕西</t>
        </is>
      </c>
      <c r="B11" s="7" t="n">
        <v>212</v>
      </c>
      <c r="C11" s="7" t="n">
        <v>52</v>
      </c>
      <c r="D11" s="8" t="n">
        <v>789862.99</v>
      </c>
    </row>
    <row r="12">
      <c r="A12" s="6" t="inlineStr">
        <is>
          <t>辽宁</t>
        </is>
      </c>
      <c r="B12" s="7" t="n">
        <v>187</v>
      </c>
      <c r="C12" s="7" t="n">
        <v>54</v>
      </c>
      <c r="D12" s="8" t="n">
        <v>674121.3199999999</v>
      </c>
    </row>
    <row r="13">
      <c r="A13" s="6" t="inlineStr">
        <is>
          <t>福建</t>
        </is>
      </c>
      <c r="B13" s="7" t="n">
        <v>190</v>
      </c>
      <c r="C13" s="7" t="n">
        <v>47</v>
      </c>
      <c r="D13" s="8" t="n">
        <v>650956.64</v>
      </c>
    </row>
    <row r="14">
      <c r="A14" s="6" t="inlineStr">
        <is>
          <t>重庆</t>
        </is>
      </c>
      <c r="B14" s="7" t="n">
        <v>172</v>
      </c>
      <c r="C14" s="7" t="n">
        <v>36</v>
      </c>
      <c r="D14" s="8" t="n">
        <v>586640.01</v>
      </c>
    </row>
    <row r="15">
      <c r="A15" s="6" t="inlineStr">
        <is>
          <t>河南</t>
        </is>
      </c>
      <c r="B15" s="7" t="n">
        <v>146</v>
      </c>
      <c r="C15" s="7" t="n">
        <v>65</v>
      </c>
      <c r="D15" s="8" t="n">
        <v>579832.0600000001</v>
      </c>
    </row>
    <row r="16">
      <c r="A16" s="6" t="inlineStr">
        <is>
          <t>安徽</t>
        </is>
      </c>
      <c r="B16" s="7" t="n">
        <v>106</v>
      </c>
      <c r="C16" s="7" t="n">
        <v>46</v>
      </c>
      <c r="D16" s="8" t="n">
        <v>388653.75</v>
      </c>
    </row>
    <row r="17">
      <c r="A17" s="6" t="inlineStr">
        <is>
          <t>湖南</t>
        </is>
      </c>
      <c r="B17" s="7" t="n">
        <v>113</v>
      </c>
      <c r="C17" s="7" t="n">
        <v>44</v>
      </c>
      <c r="D17" s="8" t="n">
        <v>382626.43</v>
      </c>
    </row>
    <row r="18">
      <c r="A18" s="6" t="inlineStr">
        <is>
          <t>未知</t>
        </is>
      </c>
      <c r="B18" s="7" t="n">
        <v>95</v>
      </c>
      <c r="C18" s="7" t="n">
        <v>30</v>
      </c>
      <c r="D18" s="8" t="n">
        <v>318654.98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.4" customWidth="1" min="3" max="3"/>
    <col width="11.2" customWidth="1" min="4" max="4"/>
  </cols>
  <sheetData>
    <row r="2">
      <c r="A2" s="5" t="inlineStr">
        <is>
          <t>segment</t>
        </is>
      </c>
      <c r="B2" s="5" t="inlineStr">
        <is>
          <t>cnt</t>
        </is>
      </c>
      <c r="C2" s="5" t="inlineStr">
        <is>
          <t>avg_monetary</t>
        </is>
      </c>
      <c r="D2" s="5" t="inlineStr">
        <is>
          <t>pct</t>
        </is>
      </c>
    </row>
    <row r="3">
      <c r="A3" s="6" t="inlineStr">
        <is>
          <t>流失客户</t>
        </is>
      </c>
      <c r="B3" s="7" t="n">
        <v>252</v>
      </c>
      <c r="C3" s="8" t="n">
        <v>3482.93</v>
      </c>
      <c r="D3" s="9" t="n">
        <v>34.52</v>
      </c>
    </row>
    <row r="4">
      <c r="A4" s="6" t="inlineStr">
        <is>
          <t>一般客户</t>
        </is>
      </c>
      <c r="B4" s="7" t="n">
        <v>179</v>
      </c>
      <c r="C4" s="8" t="n">
        <v>9696.23</v>
      </c>
      <c r="D4" s="9" t="n">
        <v>24.52</v>
      </c>
    </row>
    <row r="5">
      <c r="A5" s="6" t="inlineStr">
        <is>
          <t>重要唤回客户</t>
        </is>
      </c>
      <c r="B5" s="7" t="n">
        <v>113</v>
      </c>
      <c r="C5" s="8" t="n">
        <v>6463.09</v>
      </c>
      <c r="D5" s="9" t="n">
        <v>15.48</v>
      </c>
    </row>
    <row r="6">
      <c r="A6" s="6" t="inlineStr">
        <is>
          <t>重要价值客户</t>
        </is>
      </c>
      <c r="B6" s="7" t="n">
        <v>102</v>
      </c>
      <c r="C6" s="8" t="n">
        <v>36215.5</v>
      </c>
      <c r="D6" s="9" t="n">
        <v>13.97</v>
      </c>
    </row>
    <row r="7">
      <c r="A7" s="6" t="inlineStr">
        <is>
          <t>新客户/潜力客户</t>
        </is>
      </c>
      <c r="B7" s="7" t="n">
        <v>84</v>
      </c>
      <c r="C7" s="8" t="n">
        <v>4063.59</v>
      </c>
      <c r="D7" s="9" t="n">
        <v>11.51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7"/>
  <sheetViews>
    <sheetView workbookViewId="0">
      <selection activeCell="A1" sqref="A1"/>
    </sheetView>
  </sheetViews>
  <sheetFormatPr baseColWidth="8" defaultRowHeight="15"/>
  <cols>
    <col width="14.4" customWidth="1" min="1" max="1"/>
    <col width="17.6" customWidth="1" min="2" max="2"/>
    <col width="19.2" customWidth="1" min="3" max="3"/>
    <col width="27.2" customWidth="1" min="4" max="4"/>
  </cols>
  <sheetData>
    <row r="2">
      <c r="A2" s="5" t="inlineStr">
        <is>
          <t>channel</t>
        </is>
      </c>
      <c r="B2" s="5" t="inlineStr">
        <is>
          <t>order_cnt</t>
        </is>
      </c>
      <c r="C2" s="5" t="inlineStr">
        <is>
          <t>revenue</t>
        </is>
      </c>
      <c r="D2" s="5" t="inlineStr">
        <is>
          <t>avg_order_value</t>
        </is>
      </c>
    </row>
    <row r="3">
      <c r="A3" s="6" t="inlineStr">
        <is>
          <t>天猫</t>
        </is>
      </c>
      <c r="B3" s="7" t="n">
        <v>1036</v>
      </c>
      <c r="C3" s="8" t="n">
        <v>3874205.02</v>
      </c>
      <c r="D3" s="8" t="n">
        <v>3739.58</v>
      </c>
    </row>
    <row r="4">
      <c r="A4" s="6" t="inlineStr">
        <is>
          <t>京东</t>
        </is>
      </c>
      <c r="B4" s="7" t="n">
        <v>916</v>
      </c>
      <c r="C4" s="8" t="n">
        <v>3176795.59</v>
      </c>
      <c r="D4" s="8" t="n">
        <v>3468.12</v>
      </c>
    </row>
    <row r="5">
      <c r="A5" s="6" t="inlineStr">
        <is>
          <t>抖音</t>
        </is>
      </c>
      <c r="B5" s="7" t="n">
        <v>874</v>
      </c>
      <c r="C5" s="8" t="n">
        <v>3093891.15</v>
      </c>
      <c r="D5" s="8" t="n">
        <v>3539.92</v>
      </c>
    </row>
    <row r="6">
      <c r="A6" s="6" t="inlineStr">
        <is>
          <t>拼多多</t>
        </is>
      </c>
      <c r="B6" s="7" t="n">
        <v>635</v>
      </c>
      <c r="C6" s="8" t="n">
        <v>2246912.68</v>
      </c>
      <c r="D6" s="8" t="n">
        <v>3538.45</v>
      </c>
    </row>
    <row r="7">
      <c r="A7" s="6" t="inlineStr">
        <is>
          <t>小程序</t>
        </is>
      </c>
      <c r="B7" s="7" t="n">
        <v>374</v>
      </c>
      <c r="C7" s="8" t="n">
        <v>1336828.08</v>
      </c>
      <c r="D7" s="8" t="n">
        <v>3574.41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19.2" customWidth="1" min="1" max="1"/>
    <col width="22.4" customWidth="1" min="2" max="2"/>
    <col width="16" customWidth="1" min="3" max="3"/>
    <col width="16" customWidth="1" min="4" max="4"/>
    <col width="19.2" customWidth="1" min="5" max="5"/>
    <col width="28" customWidth="1" min="6" max="6"/>
    <col width="19.2" customWidth="1" min="7" max="7"/>
  </cols>
  <sheetData>
    <row r="2">
      <c r="A2" s="5" t="inlineStr">
        <is>
          <t>product_id</t>
        </is>
      </c>
      <c r="B2" s="5" t="inlineStr">
        <is>
          <t>product_name</t>
        </is>
      </c>
      <c r="C2" s="5" t="inlineStr">
        <is>
          <t>category</t>
        </is>
      </c>
      <c r="D2" s="5" t="inlineStr">
        <is>
          <t>sold_qty</t>
        </is>
      </c>
      <c r="E2" s="5" t="inlineStr">
        <is>
          <t>revenue</t>
        </is>
      </c>
      <c r="F2" s="5" t="inlineStr">
        <is>
          <t>cost</t>
        </is>
      </c>
      <c r="G2" s="5" t="inlineStr">
        <is>
          <t>margin_pct</t>
        </is>
      </c>
    </row>
    <row r="3">
      <c r="A3" s="6" t="inlineStr">
        <is>
          <t>P0020</t>
        </is>
      </c>
      <c r="B3" s="10" t="inlineStr">
        <is>
          <t>海尔 洗衣机 升级款</t>
        </is>
      </c>
      <c r="C3" s="10" t="inlineStr">
        <is>
          <t>家用电器</t>
        </is>
      </c>
      <c r="D3" s="7" t="n">
        <v>1324</v>
      </c>
      <c r="E3" s="8" t="n">
        <v>3090335.32</v>
      </c>
      <c r="F3" s="8" t="n">
        <v>2105557.2</v>
      </c>
      <c r="G3" s="9" t="n">
        <v>31.87</v>
      </c>
    </row>
    <row r="4">
      <c r="A4" s="6" t="inlineStr">
        <is>
          <t>P0008</t>
        </is>
      </c>
      <c r="B4" s="10" t="inlineStr">
        <is>
          <t>小米 平板电脑 升级款</t>
        </is>
      </c>
      <c r="C4" s="10" t="inlineStr">
        <is>
          <t>手机数码</t>
        </is>
      </c>
      <c r="D4" s="7" t="n">
        <v>523</v>
      </c>
      <c r="E4" s="8" t="n">
        <v>1189439.28</v>
      </c>
      <c r="F4" s="8" t="n">
        <v>757894.9900000001</v>
      </c>
      <c r="G4" s="9" t="n">
        <v>36.28</v>
      </c>
    </row>
    <row r="5">
      <c r="A5" s="6" t="inlineStr">
        <is>
          <t>P0016</t>
        </is>
      </c>
      <c r="B5" s="10" t="inlineStr">
        <is>
          <t>美的 冰箱 经典款</t>
        </is>
      </c>
      <c r="C5" s="10" t="inlineStr">
        <is>
          <t>家用电器</t>
        </is>
      </c>
      <c r="D5" s="7" t="n">
        <v>280</v>
      </c>
      <c r="E5" s="8" t="n">
        <v>902559.89</v>
      </c>
      <c r="F5" s="8" t="n">
        <v>631164.7999999999</v>
      </c>
      <c r="G5" s="9" t="n">
        <v>30.07</v>
      </c>
    </row>
    <row r="6">
      <c r="A6" s="6" t="inlineStr">
        <is>
          <t>P0039</t>
        </is>
      </c>
      <c r="B6" s="10" t="inlineStr">
        <is>
          <t>耐克 运动鞋 尊享款</t>
        </is>
      </c>
      <c r="C6" s="10" t="inlineStr">
        <is>
          <t>服饰鞋包</t>
        </is>
      </c>
      <c r="D6" s="7" t="n">
        <v>1293</v>
      </c>
      <c r="E6" s="8" t="n">
        <v>881764.63</v>
      </c>
      <c r="F6" s="8" t="n">
        <v>390162.75</v>
      </c>
      <c r="G6" s="9" t="n">
        <v>55.75</v>
      </c>
    </row>
    <row r="7">
      <c r="A7" s="6" t="inlineStr">
        <is>
          <t>P0003</t>
        </is>
      </c>
      <c r="B7" s="10" t="inlineStr">
        <is>
          <t>华为 手机 尊享款</t>
        </is>
      </c>
      <c r="C7" s="10" t="inlineStr">
        <is>
          <t>手机数码</t>
        </is>
      </c>
      <c r="D7" s="7" t="n">
        <v>187</v>
      </c>
      <c r="E7" s="8" t="n">
        <v>835135.04</v>
      </c>
      <c r="F7" s="8" t="n">
        <v>609737.8100000001</v>
      </c>
      <c r="G7" s="9" t="n">
        <v>26.99</v>
      </c>
    </row>
    <row r="8">
      <c r="A8" s="6" t="inlineStr">
        <is>
          <t>P0084</t>
        </is>
      </c>
      <c r="B8" s="10" t="inlineStr">
        <is>
          <t>乐高 积木 尊享款</t>
        </is>
      </c>
      <c r="C8" s="10" t="inlineStr">
        <is>
          <t>母婴玩具</t>
        </is>
      </c>
      <c r="D8" s="7" t="n">
        <v>1312</v>
      </c>
      <c r="E8" s="8" t="n">
        <v>617177.9399999999</v>
      </c>
      <c r="F8" s="8" t="n">
        <v>281528.96</v>
      </c>
      <c r="G8" s="9" t="n">
        <v>54.38</v>
      </c>
    </row>
    <row r="9">
      <c r="A9" s="6" t="inlineStr">
        <is>
          <t>P0045</t>
        </is>
      </c>
      <c r="B9" s="10" t="inlineStr">
        <is>
          <t>波司登 羽绒服 尊享款</t>
        </is>
      </c>
      <c r="C9" s="10" t="inlineStr">
        <is>
          <t>服饰鞋包</t>
        </is>
      </c>
      <c r="D9" s="7" t="n">
        <v>612</v>
      </c>
      <c r="E9" s="8" t="n">
        <v>603073.5</v>
      </c>
      <c r="F9" s="8" t="n">
        <v>316820.16</v>
      </c>
      <c r="G9" s="9" t="n">
        <v>47.47</v>
      </c>
    </row>
    <row r="10">
      <c r="A10" s="6" t="inlineStr">
        <is>
          <t>P0022</t>
        </is>
      </c>
      <c r="B10" s="10" t="inlineStr">
        <is>
          <t>格力 空调 经典款</t>
        </is>
      </c>
      <c r="C10" s="10" t="inlineStr">
        <is>
          <t>家用电器</t>
        </is>
      </c>
      <c r="D10" s="7" t="n">
        <v>144</v>
      </c>
      <c r="E10" s="8" t="n">
        <v>447167.33</v>
      </c>
      <c r="F10" s="8" t="n">
        <v>308280.96</v>
      </c>
      <c r="G10" s="9" t="n">
        <v>31.06</v>
      </c>
    </row>
    <row r="11">
      <c r="A11" s="6" t="inlineStr">
        <is>
          <t>P0013</t>
        </is>
      </c>
      <c r="B11" s="10" t="inlineStr">
        <is>
          <t>华为 智能手表 经典款</t>
        </is>
      </c>
      <c r="C11" s="10" t="inlineStr">
        <is>
          <t>手机数码</t>
        </is>
      </c>
      <c r="D11" s="7" t="n">
        <v>288</v>
      </c>
      <c r="E11" s="8" t="n">
        <v>391229.97</v>
      </c>
      <c r="F11" s="8" t="n">
        <v>215858.88</v>
      </c>
      <c r="G11" s="9" t="n">
        <v>44.83</v>
      </c>
    </row>
    <row r="12">
      <c r="A12" s="6" t="inlineStr">
        <is>
          <t>P0005</t>
        </is>
      </c>
      <c r="B12" s="10" t="inlineStr">
        <is>
          <t>漫步者 耳机 升级款</t>
        </is>
      </c>
      <c r="C12" s="10" t="inlineStr">
        <is>
          <t>手机数码</t>
        </is>
      </c>
      <c r="D12" s="7" t="n">
        <v>737</v>
      </c>
      <c r="E12" s="8" t="n">
        <v>283940.23</v>
      </c>
      <c r="F12" s="8" t="n">
        <v>133153.79</v>
      </c>
      <c r="G12" s="9" t="n">
        <v>53.1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2026-09-06T10:43:34Z</dcterms:created>
  <dcterms:modified xsi:type="dcterms:W3CDTF">2026-09-06T10:43:34Z</dcterms:modified>
</cp:coreProperties>
</file>